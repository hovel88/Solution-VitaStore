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" sheetId="1" r:id="rId5"/>
  </sheets>
  <definedNames/>
  <calcPr/>
</workbook>
</file>

<file path=xl/sharedStrings.xml><?xml version="1.0" encoding="utf-8"?>
<sst xmlns="http://schemas.openxmlformats.org/spreadsheetml/2006/main" count="149" uniqueCount="75">
  <si>
    <t>AS-IS расчёт на 1 магазин</t>
  </si>
  <si>
    <t>AS-IS расчёт на 100 магазинов</t>
  </si>
  <si>
    <t>Комментарий про оборудование</t>
  </si>
  <si>
    <t>База</t>
  </si>
  <si>
    <t>инфляция и замена 10% оборудования (а не покупка)</t>
  </si>
  <si>
    <t xml:space="preserve">инфляция и замена 10% оборудования </t>
  </si>
  <si>
    <t>Затраты</t>
  </si>
  <si>
    <t>Ед. изм.</t>
  </si>
  <si>
    <t>Кол-во</t>
  </si>
  <si>
    <t>Цена за ед.</t>
  </si>
  <si>
    <t>Стоимость</t>
  </si>
  <si>
    <t>1 год</t>
  </si>
  <si>
    <t>2 год</t>
  </si>
  <si>
    <t>3 год</t>
  </si>
  <si>
    <t>Всего</t>
  </si>
  <si>
    <t>Оборудование (CapEx)</t>
  </si>
  <si>
    <t>Серверный ПК</t>
  </si>
  <si>
    <t>шт</t>
  </si>
  <si>
    <t>Лицензии + ПО</t>
  </si>
  <si>
    <t>Бесперебойник</t>
  </si>
  <si>
    <t>ИТ-поддержка</t>
  </si>
  <si>
    <t>Сетевое оборудование (switch, патч-панели)</t>
  </si>
  <si>
    <t>комплект</t>
  </si>
  <si>
    <t>Инфраструктура</t>
  </si>
  <si>
    <t>Итого</t>
  </si>
  <si>
    <t>ИТОГО (TCO на 100 магазинов)</t>
  </si>
  <si>
    <t>Виды OpEx</t>
  </si>
  <si>
    <t>Windows Server 2022 Standard</t>
  </si>
  <si>
    <t>лицензия</t>
  </si>
  <si>
    <t>SQL Server Standard (2 ядра)</t>
  </si>
  <si>
    <t>Администрирование</t>
  </si>
  <si>
    <t>часов/год</t>
  </si>
  <si>
    <t>Выезды инженеров (настройка + аварии)</t>
  </si>
  <si>
    <t>выездов/год</t>
  </si>
  <si>
    <t>Электроэнергия (сервер + охлаждение)</t>
  </si>
  <si>
    <t>кВт⋅ч/год</t>
  </si>
  <si>
    <t>Интернет + резервный канал</t>
  </si>
  <si>
    <t>мес/год</t>
  </si>
  <si>
    <t>ИТОГО (TCO на 1 год)</t>
  </si>
  <si>
    <t>TO-BE расчёт на 1 магазин</t>
  </si>
  <si>
    <t>TO-BE расчёт на 100 магазинов</t>
  </si>
  <si>
    <t>Мини-ПК Intel NUC / Raspberry Pi 5</t>
  </si>
  <si>
    <t>Облачные сервисы</t>
  </si>
  <si>
    <t>Managed PostgreSQL (2 vCPU, 8GB)</t>
  </si>
  <si>
    <t>мес</t>
  </si>
  <si>
    <t>API Gateway + трафик</t>
  </si>
  <si>
    <t>Object Storage (S3)</t>
  </si>
  <si>
    <t>Monitoring + Logging</t>
  </si>
  <si>
    <t>Web POS Backend (Kubernetes)</t>
  </si>
  <si>
    <t>Payment Gateway (SaaS)</t>
  </si>
  <si>
    <t>Jira Service Management (SaaS)</t>
  </si>
  <si>
    <t>Интернет + 4G резерв</t>
  </si>
  <si>
    <t>Сравнительная таблица TCO по годам (для 300 магазинов)</t>
  </si>
  <si>
    <t>Сравнительная таблица TCO по затратам (для 300 магазинов)</t>
  </si>
  <si>
    <t>Год</t>
  </si>
  <si>
    <t>AS-IS, руб</t>
  </si>
  <si>
    <t>TO-BE, руб</t>
  </si>
  <si>
    <t>Экономия, руб</t>
  </si>
  <si>
    <t>Экономия, %</t>
  </si>
  <si>
    <t>Год 1</t>
  </si>
  <si>
    <t>Год 2</t>
  </si>
  <si>
    <t>Год 3</t>
  </si>
  <si>
    <t>ИТОГО</t>
  </si>
  <si>
    <t>Дополнительные затраты на миграцию (1-й год) - Инвестиции</t>
  </si>
  <si>
    <t>Миграция данных</t>
  </si>
  <si>
    <t>Разработка HAL-агента</t>
  </si>
  <si>
    <t>Интеграция с SAP</t>
  </si>
  <si>
    <t>Пилотный запуск</t>
  </si>
  <si>
    <t>Резерв на непредвиденные</t>
  </si>
  <si>
    <t>Оценка окупаемости инвестиций</t>
  </si>
  <si>
    <t>Среднегодовая экономия, руб</t>
  </si>
  <si>
    <t>Срок окупаемости, мес</t>
  </si>
  <si>
    <t>Break-even Point = Инвестиции / (Средняя годовая экономия с учётом инфляции)</t>
  </si>
  <si>
    <t>ROI за 3 года, %</t>
  </si>
  <si>
    <t>Return on Investment = ((Экономия за 3 года - Инвестиции) / Инвестиции) * 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</si>
</sst>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Font="1"/>
    <xf borderId="0" fillId="3" fontId="3" numFmtId="0" xfId="0" applyAlignment="1" applyFill="1" applyFont="1">
      <alignment horizontal="right"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6" max="6" width="4.13"/>
    <col customWidth="1" min="7" max="7" width="25.38"/>
  </cols>
  <sheetData>
    <row r="1">
      <c r="A1" s="1" t="s">
        <v>0</v>
      </c>
      <c r="F1" s="2"/>
      <c r="G1" s="1" t="s">
        <v>1</v>
      </c>
    </row>
    <row r="3">
      <c r="G3" s="3" t="s">
        <v>2</v>
      </c>
      <c r="I3" s="3" t="s">
        <v>3</v>
      </c>
      <c r="J3" s="4" t="s">
        <v>4</v>
      </c>
      <c r="K3" s="4" t="s">
        <v>5</v>
      </c>
    </row>
    <row r="4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G4" s="5" t="s">
        <v>6</v>
      </c>
      <c r="H4" s="5" t="s">
        <v>8</v>
      </c>
      <c r="I4" s="5" t="s">
        <v>11</v>
      </c>
      <c r="J4" s="5" t="s">
        <v>12</v>
      </c>
      <c r="K4" s="5" t="s">
        <v>13</v>
      </c>
      <c r="L4" s="5" t="s">
        <v>14</v>
      </c>
    </row>
    <row r="5">
      <c r="A5" s="6" t="s">
        <v>15</v>
      </c>
      <c r="B5" s="6"/>
      <c r="C5" s="6"/>
      <c r="D5" s="6"/>
      <c r="E5" s="6"/>
      <c r="G5" s="6" t="s">
        <v>15</v>
      </c>
      <c r="H5" s="3">
        <v>100.0</v>
      </c>
      <c r="I5" s="7">
        <f>E9*H5</f>
        <v>10000000</v>
      </c>
      <c r="J5" s="4">
        <f>0.1*1.07*I5</f>
        <v>1070000</v>
      </c>
      <c r="K5" s="4">
        <f>0.1*1.07*1.07*I5</f>
        <v>1144900</v>
      </c>
      <c r="L5" s="8">
        <f t="shared" ref="L5:L8" si="1">SUM(I5:K5)</f>
        <v>12214900</v>
      </c>
    </row>
    <row r="6">
      <c r="A6" s="4" t="s">
        <v>16</v>
      </c>
      <c r="B6" s="4" t="s">
        <v>17</v>
      </c>
      <c r="C6" s="4">
        <v>1.0</v>
      </c>
      <c r="D6" s="4">
        <v>70000.0</v>
      </c>
      <c r="E6" s="4">
        <f t="shared" ref="E6:E8" si="2">C6*D6</f>
        <v>70000</v>
      </c>
      <c r="G6" s="6" t="s">
        <v>18</v>
      </c>
      <c r="H6" s="3">
        <v>100.0</v>
      </c>
      <c r="I6" s="7">
        <f>E15*H6</f>
        <v>13500000</v>
      </c>
      <c r="J6" s="4">
        <f t="shared" ref="J6:J8" si="3">1.07*I6</f>
        <v>14445000</v>
      </c>
      <c r="K6" s="4">
        <f t="shared" ref="K6:K8" si="4">1.07*1.07*I6</f>
        <v>15456150</v>
      </c>
      <c r="L6" s="8">
        <f t="shared" si="1"/>
        <v>43401150</v>
      </c>
    </row>
    <row r="7">
      <c r="A7" s="4" t="s">
        <v>19</v>
      </c>
      <c r="B7" s="4" t="s">
        <v>17</v>
      </c>
      <c r="C7" s="4">
        <v>1.0</v>
      </c>
      <c r="D7" s="4">
        <v>20000.0</v>
      </c>
      <c r="E7" s="4">
        <f t="shared" si="2"/>
        <v>20000</v>
      </c>
      <c r="G7" s="6" t="s">
        <v>20</v>
      </c>
      <c r="H7" s="3">
        <v>100.0</v>
      </c>
      <c r="I7" s="7">
        <f>E20*H7</f>
        <v>48000000</v>
      </c>
      <c r="J7" s="4">
        <f t="shared" si="3"/>
        <v>51360000</v>
      </c>
      <c r="K7" s="4">
        <f t="shared" si="4"/>
        <v>54955200</v>
      </c>
      <c r="L7" s="8">
        <f t="shared" si="1"/>
        <v>154315200</v>
      </c>
    </row>
    <row r="8">
      <c r="A8" s="4" t="s">
        <v>21</v>
      </c>
      <c r="B8" s="4" t="s">
        <v>22</v>
      </c>
      <c r="C8" s="4">
        <v>1.0</v>
      </c>
      <c r="D8" s="4">
        <v>10000.0</v>
      </c>
      <c r="E8" s="4">
        <f t="shared" si="2"/>
        <v>10000</v>
      </c>
      <c r="G8" s="6" t="s">
        <v>23</v>
      </c>
      <c r="H8" s="3">
        <v>100.0</v>
      </c>
      <c r="I8" s="7">
        <f>E25*H8</f>
        <v>48600000</v>
      </c>
      <c r="J8" s="4">
        <f t="shared" si="3"/>
        <v>52002000</v>
      </c>
      <c r="K8" s="4">
        <f t="shared" si="4"/>
        <v>55642140</v>
      </c>
      <c r="L8" s="8">
        <f t="shared" si="1"/>
        <v>156244140</v>
      </c>
    </row>
    <row r="9">
      <c r="A9" s="4" t="s">
        <v>24</v>
      </c>
      <c r="B9" s="9"/>
      <c r="C9" s="9"/>
      <c r="D9" s="9"/>
      <c r="E9" s="8">
        <f>SUM(E6:E8)</f>
        <v>100000</v>
      </c>
    </row>
    <row r="10">
      <c r="A10" s="9"/>
      <c r="B10" s="9"/>
      <c r="C10" s="9"/>
      <c r="D10" s="9"/>
      <c r="E10" s="9"/>
      <c r="G10" s="4" t="s">
        <v>25</v>
      </c>
      <c r="I10" s="8">
        <f t="shared" ref="I10:K10" si="5">SUM(I5:I8)</f>
        <v>120100000</v>
      </c>
      <c r="J10" s="8">
        <f t="shared" si="5"/>
        <v>118877000</v>
      </c>
      <c r="K10" s="8">
        <f t="shared" si="5"/>
        <v>127198390</v>
      </c>
      <c r="L10" s="8">
        <f>SUM(I10:K10)</f>
        <v>366175390</v>
      </c>
    </row>
    <row r="11">
      <c r="A11" s="6" t="s">
        <v>26</v>
      </c>
      <c r="B11" s="9"/>
      <c r="C11" s="9"/>
      <c r="D11" s="9"/>
      <c r="E11" s="9"/>
    </row>
    <row r="12">
      <c r="A12" s="6" t="s">
        <v>18</v>
      </c>
      <c r="B12" s="9"/>
      <c r="C12" s="9"/>
      <c r="D12" s="9"/>
      <c r="E12" s="9"/>
    </row>
    <row r="13">
      <c r="A13" s="4" t="s">
        <v>27</v>
      </c>
      <c r="B13" s="4" t="s">
        <v>28</v>
      </c>
      <c r="C13" s="4">
        <v>1.0</v>
      </c>
      <c r="D13" s="4">
        <v>45000.0</v>
      </c>
      <c r="E13" s="9">
        <f t="shared" ref="E13:E14" si="6">D13*C13</f>
        <v>45000</v>
      </c>
    </row>
    <row r="14">
      <c r="A14" s="4" t="s">
        <v>29</v>
      </c>
      <c r="B14" s="4" t="s">
        <v>28</v>
      </c>
      <c r="C14" s="4">
        <v>1.0</v>
      </c>
      <c r="D14" s="4">
        <v>90000.0</v>
      </c>
      <c r="E14" s="9">
        <f t="shared" si="6"/>
        <v>90000</v>
      </c>
    </row>
    <row r="15">
      <c r="A15" s="4" t="s">
        <v>24</v>
      </c>
      <c r="B15" s="9"/>
      <c r="C15" s="9"/>
      <c r="D15" s="9"/>
      <c r="E15" s="8">
        <f>SUM(E13:E14)</f>
        <v>135000</v>
      </c>
      <c r="G15" s="4"/>
    </row>
    <row r="16">
      <c r="A16" s="9"/>
      <c r="B16" s="9"/>
      <c r="C16" s="9"/>
      <c r="D16" s="9"/>
      <c r="E16" s="9"/>
      <c r="F16" s="9"/>
    </row>
    <row r="17">
      <c r="A17" s="6" t="s">
        <v>20</v>
      </c>
      <c r="B17" s="9"/>
      <c r="C17" s="9"/>
      <c r="D17" s="9"/>
      <c r="E17" s="9"/>
      <c r="F17" s="9"/>
      <c r="G17" s="6"/>
    </row>
    <row r="18">
      <c r="A18" s="4" t="s">
        <v>30</v>
      </c>
      <c r="B18" s="3" t="s">
        <v>31</v>
      </c>
      <c r="C18" s="3">
        <v>100.0</v>
      </c>
      <c r="D18" s="4">
        <v>3000.0</v>
      </c>
      <c r="E18" s="9">
        <f t="shared" ref="E18:E19" si="7">D18*C18</f>
        <v>300000</v>
      </c>
      <c r="F18" s="9"/>
    </row>
    <row r="19">
      <c r="A19" s="4" t="s">
        <v>32</v>
      </c>
      <c r="B19" s="3" t="s">
        <v>33</v>
      </c>
      <c r="C19" s="3">
        <v>12.0</v>
      </c>
      <c r="D19" s="4">
        <v>15000.0</v>
      </c>
      <c r="E19" s="9">
        <f t="shared" si="7"/>
        <v>180000</v>
      </c>
      <c r="F19" s="9"/>
    </row>
    <row r="20">
      <c r="A20" s="4" t="s">
        <v>24</v>
      </c>
      <c r="B20" s="9"/>
      <c r="C20" s="9"/>
      <c r="D20" s="9"/>
      <c r="E20" s="8">
        <f>SUM(E18:E19)</f>
        <v>480000</v>
      </c>
      <c r="F20" s="9"/>
      <c r="G20" s="4"/>
    </row>
    <row r="21">
      <c r="A21" s="9"/>
      <c r="B21" s="9"/>
      <c r="C21" s="9"/>
      <c r="D21" s="9"/>
      <c r="E21" s="9"/>
      <c r="F21" s="9"/>
    </row>
    <row r="22">
      <c r="A22" s="6" t="s">
        <v>23</v>
      </c>
      <c r="B22" s="9"/>
      <c r="C22" s="9"/>
      <c r="D22" s="9"/>
      <c r="E22" s="9"/>
      <c r="F22" s="9"/>
      <c r="G22" s="6"/>
    </row>
    <row r="23">
      <c r="A23" s="4" t="s">
        <v>34</v>
      </c>
      <c r="B23" s="3" t="s">
        <v>35</v>
      </c>
      <c r="C23" s="4">
        <v>43800.0</v>
      </c>
      <c r="D23" s="4">
        <v>10.0</v>
      </c>
      <c r="E23" s="9">
        <f t="shared" ref="E23:E24" si="8">C23*D23</f>
        <v>438000</v>
      </c>
      <c r="F23" s="9"/>
    </row>
    <row r="24">
      <c r="A24" s="4" t="s">
        <v>36</v>
      </c>
      <c r="B24" s="3" t="s">
        <v>37</v>
      </c>
      <c r="C24" s="4">
        <v>12.0</v>
      </c>
      <c r="D24" s="4">
        <v>4000.0</v>
      </c>
      <c r="E24" s="9">
        <f t="shared" si="8"/>
        <v>48000</v>
      </c>
      <c r="F24" s="9"/>
    </row>
    <row r="25">
      <c r="A25" s="4" t="s">
        <v>24</v>
      </c>
      <c r="B25" s="9"/>
      <c r="C25" s="9"/>
      <c r="D25" s="9"/>
      <c r="E25" s="8">
        <f>SUM(E23:E24)</f>
        <v>486000</v>
      </c>
      <c r="F25" s="9"/>
      <c r="G25" s="4"/>
    </row>
    <row r="26">
      <c r="A26" s="9"/>
      <c r="B26" s="9"/>
      <c r="C26" s="9"/>
      <c r="D26" s="9"/>
      <c r="E26" s="9"/>
      <c r="F26" s="9"/>
    </row>
    <row r="27">
      <c r="A27" s="4" t="s">
        <v>38</v>
      </c>
      <c r="B27" s="9"/>
      <c r="C27" s="9"/>
      <c r="D27" s="9"/>
      <c r="E27" s="8">
        <f>E9+E15+E20+E25</f>
        <v>1201000</v>
      </c>
      <c r="F27" s="9"/>
    </row>
    <row r="28">
      <c r="A28" s="9"/>
      <c r="B28" s="9"/>
      <c r="C28" s="9"/>
      <c r="D28" s="9"/>
      <c r="E28" s="9"/>
    </row>
    <row r="29">
      <c r="A29" s="9"/>
      <c r="B29" s="9"/>
      <c r="C29" s="9"/>
      <c r="D29" s="9"/>
      <c r="E29" s="9"/>
    </row>
    <row r="30">
      <c r="A30" s="1" t="s">
        <v>39</v>
      </c>
      <c r="F30" s="2"/>
      <c r="G30" s="1" t="s">
        <v>40</v>
      </c>
    </row>
    <row r="32">
      <c r="G32" s="3" t="s">
        <v>2</v>
      </c>
      <c r="I32" s="3" t="s">
        <v>3</v>
      </c>
      <c r="J32" s="4" t="s">
        <v>4</v>
      </c>
      <c r="K32" s="4" t="s">
        <v>5</v>
      </c>
    </row>
    <row r="33">
      <c r="A33" s="5" t="s">
        <v>6</v>
      </c>
      <c r="B33" s="5" t="s">
        <v>7</v>
      </c>
      <c r="C33" s="5" t="s">
        <v>8</v>
      </c>
      <c r="D33" s="5" t="s">
        <v>9</v>
      </c>
      <c r="E33" s="5" t="s">
        <v>10</v>
      </c>
      <c r="F33" s="9"/>
      <c r="G33" s="5" t="s">
        <v>6</v>
      </c>
      <c r="H33" s="5" t="s">
        <v>8</v>
      </c>
      <c r="I33" s="5" t="s">
        <v>11</v>
      </c>
      <c r="J33" s="5" t="s">
        <v>12</v>
      </c>
      <c r="K33" s="5" t="s">
        <v>13</v>
      </c>
      <c r="L33" s="5" t="s">
        <v>14</v>
      </c>
    </row>
    <row r="34">
      <c r="A34" s="6" t="s">
        <v>15</v>
      </c>
      <c r="B34" s="6"/>
      <c r="C34" s="6"/>
      <c r="D34" s="6"/>
      <c r="E34" s="6"/>
      <c r="F34" s="9"/>
      <c r="G34" s="6" t="s">
        <v>15</v>
      </c>
      <c r="H34" s="4">
        <v>100.0</v>
      </c>
      <c r="I34" s="9">
        <f>E38*H34</f>
        <v>3400000</v>
      </c>
      <c r="J34" s="4">
        <f>0.1*1.07*I34</f>
        <v>363800</v>
      </c>
      <c r="K34" s="4">
        <f>0.1*1.07*1.07*I34</f>
        <v>389266</v>
      </c>
      <c r="L34" s="8">
        <f t="shared" ref="L34:L38" si="9">SUM(I34:K34)</f>
        <v>4153066</v>
      </c>
    </row>
    <row r="35">
      <c r="A35" s="4" t="s">
        <v>41</v>
      </c>
      <c r="B35" s="4" t="s">
        <v>17</v>
      </c>
      <c r="C35" s="4">
        <v>1.0</v>
      </c>
      <c r="D35" s="4">
        <v>18000.0</v>
      </c>
      <c r="E35" s="4">
        <f t="shared" ref="E35:E37" si="10">C35*D35</f>
        <v>18000</v>
      </c>
      <c r="F35" s="9"/>
      <c r="G35" s="6" t="s">
        <v>42</v>
      </c>
      <c r="H35" s="3">
        <v>100.0</v>
      </c>
      <c r="I35" s="7">
        <f>E47*H35</f>
        <v>46800000</v>
      </c>
      <c r="J35" s="7">
        <f t="shared" ref="J35:J38" si="11">1.07*I35</f>
        <v>50076000</v>
      </c>
      <c r="K35" s="7">
        <f t="shared" ref="K35:K38" si="12">1.07*1.07*I35</f>
        <v>53581320</v>
      </c>
      <c r="L35" s="8">
        <f t="shared" si="9"/>
        <v>150457320</v>
      </c>
    </row>
    <row r="36">
      <c r="A36" s="4" t="s">
        <v>19</v>
      </c>
      <c r="B36" s="4" t="s">
        <v>17</v>
      </c>
      <c r="C36" s="4">
        <v>1.0</v>
      </c>
      <c r="D36" s="4">
        <v>6000.0</v>
      </c>
      <c r="E36" s="4">
        <f t="shared" si="10"/>
        <v>6000</v>
      </c>
      <c r="F36" s="9"/>
      <c r="G36" s="6" t="s">
        <v>18</v>
      </c>
      <c r="H36" s="4">
        <v>100.0</v>
      </c>
      <c r="I36" s="9">
        <f>E52*H36</f>
        <v>11280000</v>
      </c>
      <c r="J36" s="4">
        <f t="shared" si="11"/>
        <v>12069600</v>
      </c>
      <c r="K36" s="4">
        <f t="shared" si="12"/>
        <v>12914472</v>
      </c>
      <c r="L36" s="8">
        <f t="shared" si="9"/>
        <v>36264072</v>
      </c>
    </row>
    <row r="37">
      <c r="A37" s="4" t="s">
        <v>21</v>
      </c>
      <c r="B37" s="4" t="s">
        <v>22</v>
      </c>
      <c r="C37" s="4">
        <v>1.0</v>
      </c>
      <c r="D37" s="4">
        <v>10000.0</v>
      </c>
      <c r="E37" s="4">
        <f t="shared" si="10"/>
        <v>10000</v>
      </c>
      <c r="F37" s="9"/>
      <c r="G37" s="6" t="s">
        <v>20</v>
      </c>
      <c r="H37" s="4">
        <v>100.0</v>
      </c>
      <c r="I37" s="9">
        <f>E57*H37</f>
        <v>12000000</v>
      </c>
      <c r="J37" s="4">
        <f t="shared" si="11"/>
        <v>12840000</v>
      </c>
      <c r="K37" s="4">
        <f t="shared" si="12"/>
        <v>13738800</v>
      </c>
      <c r="L37" s="8">
        <f t="shared" si="9"/>
        <v>38578800</v>
      </c>
    </row>
    <row r="38">
      <c r="A38" s="4" t="s">
        <v>24</v>
      </c>
      <c r="B38" s="9"/>
      <c r="C38" s="9"/>
      <c r="D38" s="9"/>
      <c r="E38" s="8">
        <f>SUM(E35:E37)</f>
        <v>34000</v>
      </c>
      <c r="F38" s="9"/>
      <c r="G38" s="6" t="s">
        <v>23</v>
      </c>
      <c r="H38" s="4">
        <v>100.0</v>
      </c>
      <c r="I38" s="9">
        <f>E62*H38</f>
        <v>5400000</v>
      </c>
      <c r="J38" s="4">
        <f t="shared" si="11"/>
        <v>5778000</v>
      </c>
      <c r="K38" s="4">
        <f t="shared" si="12"/>
        <v>6182460</v>
      </c>
      <c r="L38" s="8">
        <f t="shared" si="9"/>
        <v>17360460</v>
      </c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>
      <c r="A40" s="6" t="s">
        <v>26</v>
      </c>
      <c r="B40" s="9"/>
      <c r="C40" s="9"/>
      <c r="D40" s="9"/>
      <c r="E40" s="9"/>
      <c r="F40" s="9"/>
      <c r="G40" s="4" t="s">
        <v>25</v>
      </c>
      <c r="H40" s="9"/>
      <c r="I40" s="8">
        <f t="shared" ref="I40:K40" si="13">SUM(I34:I38)</f>
        <v>78880000</v>
      </c>
      <c r="J40" s="8">
        <f t="shared" si="13"/>
        <v>81127400</v>
      </c>
      <c r="K40" s="8">
        <f t="shared" si="13"/>
        <v>86806318</v>
      </c>
      <c r="L40" s="8">
        <f>SUM(I40:K40)</f>
        <v>246813718</v>
      </c>
    </row>
    <row r="41">
      <c r="A41" s="6" t="s">
        <v>42</v>
      </c>
      <c r="B41" s="9"/>
      <c r="C41" s="9"/>
      <c r="D41" s="9"/>
      <c r="E41" s="9"/>
      <c r="F41" s="9"/>
      <c r="G41" s="9"/>
      <c r="H41" s="9"/>
      <c r="I41" s="9"/>
      <c r="J41" s="9"/>
      <c r="K41" s="9"/>
    </row>
    <row r="42">
      <c r="A42" s="3" t="s">
        <v>43</v>
      </c>
      <c r="B42" s="3" t="s">
        <v>44</v>
      </c>
      <c r="C42" s="4">
        <v>12.0</v>
      </c>
      <c r="D42" s="4">
        <v>17000.0</v>
      </c>
      <c r="E42" s="9">
        <f t="shared" ref="E42:E46" si="14">C42*D42</f>
        <v>204000</v>
      </c>
      <c r="F42" s="9"/>
      <c r="G42" s="9"/>
      <c r="H42" s="9"/>
      <c r="I42" s="9"/>
      <c r="J42" s="9"/>
      <c r="K42" s="9"/>
    </row>
    <row r="43">
      <c r="A43" s="3" t="s">
        <v>45</v>
      </c>
      <c r="B43" s="3" t="s">
        <v>44</v>
      </c>
      <c r="C43" s="4">
        <v>12.0</v>
      </c>
      <c r="D43" s="4">
        <v>3000.0</v>
      </c>
      <c r="E43" s="9">
        <f t="shared" si="14"/>
        <v>36000</v>
      </c>
      <c r="F43" s="9"/>
      <c r="G43" s="9"/>
      <c r="H43" s="9"/>
      <c r="I43" s="9"/>
      <c r="J43" s="9"/>
      <c r="K43" s="9"/>
    </row>
    <row r="44">
      <c r="A44" s="3" t="s">
        <v>46</v>
      </c>
      <c r="B44" s="3" t="s">
        <v>44</v>
      </c>
      <c r="C44" s="4">
        <v>12.0</v>
      </c>
      <c r="D44" s="4">
        <v>3000.0</v>
      </c>
      <c r="E44" s="9">
        <f t="shared" si="14"/>
        <v>36000</v>
      </c>
      <c r="F44" s="9"/>
      <c r="G44" s="9"/>
      <c r="H44" s="9"/>
      <c r="I44" s="9"/>
      <c r="J44" s="9"/>
      <c r="K44" s="9"/>
    </row>
    <row r="45">
      <c r="A45" s="3" t="s">
        <v>47</v>
      </c>
      <c r="B45" s="3" t="s">
        <v>44</v>
      </c>
      <c r="C45" s="4">
        <v>12.0</v>
      </c>
      <c r="D45" s="4">
        <v>3000.0</v>
      </c>
      <c r="E45" s="9">
        <f t="shared" si="14"/>
        <v>36000</v>
      </c>
      <c r="F45" s="9"/>
      <c r="G45" s="9"/>
      <c r="H45" s="9"/>
      <c r="I45" s="9"/>
      <c r="J45" s="9"/>
      <c r="K45" s="9"/>
    </row>
    <row r="46">
      <c r="A46" s="3" t="s">
        <v>48</v>
      </c>
      <c r="B46" s="3" t="s">
        <v>44</v>
      </c>
      <c r="C46" s="4">
        <v>12.0</v>
      </c>
      <c r="D46" s="4">
        <v>13000.0</v>
      </c>
      <c r="E46" s="9">
        <f t="shared" si="14"/>
        <v>156000</v>
      </c>
      <c r="F46" s="9"/>
      <c r="G46" s="9"/>
      <c r="H46" s="9"/>
      <c r="I46" s="9"/>
      <c r="J46" s="9"/>
      <c r="K46" s="9"/>
    </row>
    <row r="47">
      <c r="A47" s="4" t="s">
        <v>24</v>
      </c>
      <c r="B47" s="3"/>
      <c r="C47" s="9"/>
      <c r="D47" s="9"/>
      <c r="E47" s="8">
        <f>SUM(E42:E46)</f>
        <v>468000</v>
      </c>
      <c r="F47" s="9"/>
      <c r="G47" s="9"/>
      <c r="H47" s="9"/>
      <c r="I47" s="9"/>
      <c r="J47" s="9"/>
      <c r="K47" s="9"/>
    </row>
    <row r="48">
      <c r="A48" s="6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>
      <c r="A49" s="6" t="s">
        <v>18</v>
      </c>
      <c r="B49" s="9"/>
      <c r="C49" s="9"/>
      <c r="D49" s="9"/>
      <c r="E49" s="9"/>
      <c r="F49" s="9"/>
      <c r="G49" s="9"/>
      <c r="H49" s="9"/>
      <c r="I49" s="9"/>
      <c r="J49" s="9"/>
      <c r="K49" s="9"/>
    </row>
    <row r="50">
      <c r="A50" s="4" t="s">
        <v>49</v>
      </c>
      <c r="B50" s="4" t="s">
        <v>28</v>
      </c>
      <c r="C50" s="4">
        <v>12.0</v>
      </c>
      <c r="D50" s="4">
        <v>5000.0</v>
      </c>
      <c r="E50" s="9">
        <f t="shared" ref="E50:E51" si="15">D50*C50</f>
        <v>60000</v>
      </c>
      <c r="F50" s="9"/>
      <c r="G50" s="9"/>
      <c r="H50" s="9"/>
      <c r="I50" s="9"/>
      <c r="J50" s="9"/>
      <c r="K50" s="9"/>
    </row>
    <row r="51">
      <c r="A51" s="4" t="s">
        <v>50</v>
      </c>
      <c r="B51" s="4" t="s">
        <v>28</v>
      </c>
      <c r="C51" s="4">
        <v>12.0</v>
      </c>
      <c r="D51" s="4">
        <v>4400.0</v>
      </c>
      <c r="E51" s="9">
        <f t="shared" si="15"/>
        <v>52800</v>
      </c>
      <c r="F51" s="9"/>
      <c r="G51" s="9"/>
      <c r="H51" s="9"/>
      <c r="I51" s="9"/>
      <c r="J51" s="9"/>
      <c r="K51" s="9"/>
    </row>
    <row r="52">
      <c r="A52" s="4" t="s">
        <v>24</v>
      </c>
      <c r="B52" s="9"/>
      <c r="C52" s="9"/>
      <c r="D52" s="9"/>
      <c r="E52" s="8">
        <f>SUM(E50:E51)</f>
        <v>112800</v>
      </c>
      <c r="F52" s="9"/>
      <c r="G52" s="4"/>
      <c r="H52" s="9"/>
      <c r="I52" s="9"/>
      <c r="J52" s="9"/>
      <c r="K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>
      <c r="A54" s="6" t="s">
        <v>20</v>
      </c>
      <c r="B54" s="9"/>
      <c r="C54" s="9"/>
      <c r="D54" s="9"/>
      <c r="E54" s="9"/>
      <c r="F54" s="9"/>
      <c r="G54" s="6"/>
      <c r="H54" s="9"/>
      <c r="I54" s="9"/>
      <c r="J54" s="9"/>
      <c r="K54" s="9"/>
    </row>
    <row r="55">
      <c r="A55" s="4" t="s">
        <v>30</v>
      </c>
      <c r="B55" s="4" t="s">
        <v>31</v>
      </c>
      <c r="C55" s="4">
        <v>30.0</v>
      </c>
      <c r="D55" s="4">
        <v>3000.0</v>
      </c>
      <c r="E55" s="9">
        <f t="shared" ref="E55:E56" si="16">D55*C55</f>
        <v>90000</v>
      </c>
      <c r="F55" s="9"/>
      <c r="G55" s="9"/>
      <c r="H55" s="9"/>
      <c r="I55" s="9"/>
      <c r="J55" s="9"/>
      <c r="K55" s="9"/>
    </row>
    <row r="56">
      <c r="A56" s="4" t="s">
        <v>32</v>
      </c>
      <c r="B56" s="4" t="s">
        <v>33</v>
      </c>
      <c r="C56" s="4">
        <v>2.0</v>
      </c>
      <c r="D56" s="4">
        <v>15000.0</v>
      </c>
      <c r="E56" s="9">
        <f t="shared" si="16"/>
        <v>30000</v>
      </c>
      <c r="F56" s="9"/>
      <c r="G56" s="9"/>
      <c r="H56" s="9"/>
      <c r="I56" s="9"/>
      <c r="J56" s="9"/>
      <c r="K56" s="9"/>
    </row>
    <row r="57">
      <c r="A57" s="4" t="s">
        <v>24</v>
      </c>
      <c r="B57" s="9"/>
      <c r="C57" s="9"/>
      <c r="D57" s="9"/>
      <c r="E57" s="8">
        <f>SUM(E55:E56)</f>
        <v>120000</v>
      </c>
      <c r="F57" s="9"/>
      <c r="G57" s="4"/>
      <c r="H57" s="9"/>
      <c r="I57" s="9"/>
      <c r="J57" s="9"/>
      <c r="K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>
      <c r="A59" s="6" t="s">
        <v>23</v>
      </c>
      <c r="B59" s="9"/>
      <c r="C59" s="9"/>
      <c r="D59" s="9"/>
      <c r="E59" s="9"/>
      <c r="F59" s="9"/>
      <c r="G59" s="6"/>
      <c r="H59" s="9"/>
      <c r="I59" s="9"/>
      <c r="J59" s="9"/>
      <c r="K59" s="9"/>
    </row>
    <row r="60">
      <c r="A60" s="4" t="s">
        <v>34</v>
      </c>
      <c r="B60" s="4" t="s">
        <v>35</v>
      </c>
      <c r="C60" s="4">
        <v>600.0</v>
      </c>
      <c r="D60" s="4">
        <v>10.0</v>
      </c>
      <c r="E60" s="9">
        <f t="shared" ref="E60:E61" si="17">C60*D60</f>
        <v>6000</v>
      </c>
      <c r="F60" s="9"/>
      <c r="G60" s="9"/>
      <c r="H60" s="9"/>
      <c r="I60" s="9"/>
      <c r="J60" s="9"/>
      <c r="K60" s="9"/>
    </row>
    <row r="61">
      <c r="A61" s="4" t="s">
        <v>51</v>
      </c>
      <c r="B61" s="4" t="s">
        <v>37</v>
      </c>
      <c r="C61" s="4">
        <v>12.0</v>
      </c>
      <c r="D61" s="4">
        <v>4000.0</v>
      </c>
      <c r="E61" s="9">
        <f t="shared" si="17"/>
        <v>48000</v>
      </c>
      <c r="F61" s="9"/>
      <c r="G61" s="9"/>
      <c r="H61" s="9"/>
      <c r="I61" s="9"/>
      <c r="J61" s="9"/>
      <c r="K61" s="9"/>
    </row>
    <row r="62">
      <c r="A62" s="4" t="s">
        <v>24</v>
      </c>
      <c r="B62" s="9"/>
      <c r="C62" s="9"/>
      <c r="D62" s="9"/>
      <c r="E62" s="8">
        <f>SUM(E60:E61)</f>
        <v>54000</v>
      </c>
      <c r="F62" s="9"/>
      <c r="G62" s="4"/>
      <c r="H62" s="9"/>
      <c r="I62" s="9"/>
      <c r="J62" s="9"/>
      <c r="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>
      <c r="A64" s="4" t="s">
        <v>38</v>
      </c>
      <c r="B64" s="9"/>
      <c r="C64" s="9"/>
      <c r="D64" s="9"/>
      <c r="E64" s="8">
        <f>E38+E47+E52+E57+E62</f>
        <v>788800</v>
      </c>
      <c r="F64" s="9"/>
    </row>
    <row r="67">
      <c r="A67" s="1" t="s">
        <v>52</v>
      </c>
      <c r="G67" s="1" t="s">
        <v>53</v>
      </c>
    </row>
    <row r="69">
      <c r="A69" s="5" t="s">
        <v>54</v>
      </c>
      <c r="B69" s="5" t="s">
        <v>55</v>
      </c>
      <c r="C69" s="5" t="s">
        <v>56</v>
      </c>
      <c r="D69" s="5" t="s">
        <v>57</v>
      </c>
      <c r="E69" s="5" t="s">
        <v>58</v>
      </c>
      <c r="G69" s="5" t="s">
        <v>6</v>
      </c>
      <c r="H69" s="5" t="s">
        <v>55</v>
      </c>
      <c r="I69" s="5" t="s">
        <v>56</v>
      </c>
      <c r="J69" s="5" t="s">
        <v>57</v>
      </c>
      <c r="K69" s="5" t="s">
        <v>58</v>
      </c>
    </row>
    <row r="70">
      <c r="A70" s="3" t="s">
        <v>59</v>
      </c>
      <c r="B70" s="7">
        <f>I10</f>
        <v>120100000</v>
      </c>
      <c r="C70" s="7">
        <f>I40</f>
        <v>78880000</v>
      </c>
      <c r="D70" s="7">
        <f t="shared" ref="D70:D72" si="18">B70-C70</f>
        <v>41220000</v>
      </c>
      <c r="E70" s="7">
        <f t="shared" ref="E70:E72" si="19">D70/B70*100</f>
        <v>34.32139883</v>
      </c>
      <c r="G70" s="6" t="s">
        <v>15</v>
      </c>
      <c r="H70" s="7">
        <f t="shared" ref="H70:H73" si="20">L5</f>
        <v>12214900</v>
      </c>
      <c r="I70" s="7">
        <f>L34</f>
        <v>4153066</v>
      </c>
      <c r="J70" s="7">
        <f t="shared" ref="J70:J73" si="21">H70-I70</f>
        <v>8061834</v>
      </c>
      <c r="K70" s="7">
        <f t="shared" ref="K70:K73" si="22">J70/H70*100</f>
        <v>66</v>
      </c>
    </row>
    <row r="71">
      <c r="A71" s="3" t="s">
        <v>60</v>
      </c>
      <c r="B71" s="7">
        <f>J10</f>
        <v>118877000</v>
      </c>
      <c r="C71" s="7">
        <f>J40</f>
        <v>81127400</v>
      </c>
      <c r="D71" s="7">
        <f t="shared" si="18"/>
        <v>37749600</v>
      </c>
      <c r="E71" s="7">
        <f t="shared" si="19"/>
        <v>31.75517552</v>
      </c>
      <c r="G71" s="6" t="s">
        <v>18</v>
      </c>
      <c r="H71" s="7">
        <f t="shared" si="20"/>
        <v>43401150</v>
      </c>
      <c r="I71" s="7">
        <f t="shared" ref="I71:I73" si="23">L36</f>
        <v>36264072</v>
      </c>
      <c r="J71" s="7">
        <f t="shared" si="21"/>
        <v>7137078</v>
      </c>
      <c r="K71" s="7">
        <f t="shared" si="22"/>
        <v>16.44444444</v>
      </c>
    </row>
    <row r="72">
      <c r="A72" s="3" t="s">
        <v>61</v>
      </c>
      <c r="B72" s="7">
        <f>K10</f>
        <v>127198390</v>
      </c>
      <c r="C72" s="7">
        <f>K40</f>
        <v>86806318</v>
      </c>
      <c r="D72" s="7">
        <f t="shared" si="18"/>
        <v>40392072</v>
      </c>
      <c r="E72" s="7">
        <f t="shared" si="19"/>
        <v>31.75517552</v>
      </c>
      <c r="G72" s="6" t="s">
        <v>20</v>
      </c>
      <c r="H72" s="7">
        <f t="shared" si="20"/>
        <v>154315200</v>
      </c>
      <c r="I72" s="7">
        <f t="shared" si="23"/>
        <v>38578800</v>
      </c>
      <c r="J72" s="7">
        <f t="shared" si="21"/>
        <v>115736400</v>
      </c>
      <c r="K72" s="7">
        <f t="shared" si="22"/>
        <v>75</v>
      </c>
    </row>
    <row r="73">
      <c r="G73" s="6" t="s">
        <v>23</v>
      </c>
      <c r="H73" s="7">
        <f t="shared" si="20"/>
        <v>156244140</v>
      </c>
      <c r="I73" s="7">
        <f t="shared" si="23"/>
        <v>17360460</v>
      </c>
      <c r="J73" s="7">
        <f t="shared" si="21"/>
        <v>138883680</v>
      </c>
      <c r="K73" s="7">
        <f t="shared" si="22"/>
        <v>88.88888889</v>
      </c>
    </row>
    <row r="74">
      <c r="A74" s="3" t="s">
        <v>62</v>
      </c>
      <c r="B74" s="8">
        <f t="shared" ref="B74:C74" si="24">SUM(B70:B72)</f>
        <v>366175390</v>
      </c>
      <c r="C74" s="8">
        <f t="shared" si="24"/>
        <v>246813718</v>
      </c>
      <c r="D74" s="8">
        <f>B74-C74</f>
        <v>119361672</v>
      </c>
      <c r="E74" s="8">
        <f>D74/B74*100</f>
        <v>32.59685802</v>
      </c>
    </row>
    <row r="75">
      <c r="G75" s="3" t="s">
        <v>62</v>
      </c>
      <c r="H75" s="8">
        <f t="shared" ref="H75:I75" si="25">SUM(H70:H73)</f>
        <v>366175390</v>
      </c>
      <c r="I75" s="8">
        <f t="shared" si="25"/>
        <v>96356398</v>
      </c>
      <c r="J75" s="8">
        <f>H75-I75</f>
        <v>269818992</v>
      </c>
      <c r="K75" s="8">
        <f>J75/H75*100</f>
        <v>73.6857253</v>
      </c>
    </row>
    <row r="78">
      <c r="A78" s="1" t="s">
        <v>63</v>
      </c>
    </row>
    <row r="80">
      <c r="A80" s="5" t="s">
        <v>6</v>
      </c>
      <c r="B80" s="5" t="s">
        <v>10</v>
      </c>
    </row>
    <row r="81">
      <c r="A81" s="3" t="s">
        <v>64</v>
      </c>
      <c r="B81" s="3">
        <v>3000000.0</v>
      </c>
    </row>
    <row r="82">
      <c r="A82" s="3" t="s">
        <v>65</v>
      </c>
      <c r="B82" s="3">
        <v>5000000.0</v>
      </c>
    </row>
    <row r="83">
      <c r="A83" s="3" t="s">
        <v>66</v>
      </c>
      <c r="B83" s="3">
        <v>2000000.0</v>
      </c>
    </row>
    <row r="84">
      <c r="A84" s="3" t="s">
        <v>67</v>
      </c>
      <c r="B84" s="3">
        <v>1000000.0</v>
      </c>
    </row>
    <row r="85">
      <c r="A85" s="3" t="s">
        <v>68</v>
      </c>
      <c r="B85" s="3">
        <v>2000000.0</v>
      </c>
    </row>
    <row r="86">
      <c r="A86" s="3" t="s">
        <v>24</v>
      </c>
      <c r="B86" s="8">
        <f>SUM(B81:B85)</f>
        <v>13000000</v>
      </c>
    </row>
    <row r="88">
      <c r="A88" s="1" t="s">
        <v>69</v>
      </c>
    </row>
    <row r="90">
      <c r="A90" s="3" t="s">
        <v>70</v>
      </c>
      <c r="B90" s="7">
        <f>AVERAGE(D70:D72)</f>
        <v>39787224</v>
      </c>
    </row>
    <row r="91">
      <c r="A91" s="3" t="s">
        <v>71</v>
      </c>
      <c r="B91" s="7">
        <f>B86/B90*12</f>
        <v>3.920856605</v>
      </c>
      <c r="D91" s="3" t="s">
        <v>72</v>
      </c>
    </row>
    <row r="92">
      <c r="A92" s="3" t="s">
        <v>73</v>
      </c>
      <c r="B92" s="7">
        <f>((D74-B86)/B86)*100</f>
        <v>818.1667077</v>
      </c>
      <c r="D92" s="3" t="s">
        <v>74</v>
      </c>
    </row>
  </sheetData>
  <mergeCells count="8">
    <mergeCell ref="A1:E1"/>
    <mergeCell ref="G1:K1"/>
    <mergeCell ref="A30:E30"/>
    <mergeCell ref="G30:K30"/>
    <mergeCell ref="A67:E67"/>
    <mergeCell ref="G67:K67"/>
    <mergeCell ref="A78:E78"/>
    <mergeCell ref="A88:E88"/>
  </mergeCells>
  <drawing r:id="rId1"/>
</worksheet>
</file>